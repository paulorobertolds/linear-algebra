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mplo 2 - HH endógen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<sst xmlns="http://schemas.openxmlformats.org/spreadsheetml/2006/main" count="74" uniqueCount="29">
  <si>
    <t xml:space="preserve">S1</t>
  </si>
  <si>
    <t xml:space="preserve">S2</t>
  </si>
  <si>
    <t xml:space="preserve">C</t>
  </si>
  <si>
    <r>
      <rPr>
        <sz val="11"/>
        <color rgb="FF000000"/>
        <rFont val="Calibri"/>
        <family val="2"/>
        <charset val="1"/>
      </rPr>
      <t xml:space="preserve">Y</t>
    </r>
    <r>
      <rPr>
        <vertAlign val="superscript"/>
        <sz val="11"/>
        <color rgb="FF000000"/>
        <rFont val="Calibri"/>
        <family val="2"/>
        <charset val="1"/>
      </rPr>
      <t xml:space="preserve">*</t>
    </r>
  </si>
  <si>
    <t xml:space="preserve">X</t>
  </si>
  <si>
    <t xml:space="preserve">Trabalho</t>
  </si>
  <si>
    <t xml:space="preserve">Outros Pagamentos Domésticos</t>
  </si>
  <si>
    <t xml:space="preserve">Importações</t>
  </si>
  <si>
    <t xml:space="preserve">A</t>
  </si>
  <si>
    <t xml:space="preserve">Famílias</t>
  </si>
  <si>
    <t xml:space="preserve">Renda</t>
  </si>
  <si>
    <t xml:space="preserve">I</t>
  </si>
  <si>
    <t xml:space="preserve">S3</t>
  </si>
  <si>
    <t xml:space="preserve">(I-A)</t>
  </si>
  <si>
    <t xml:space="preserve">HH</t>
  </si>
  <si>
    <r>
      <rPr>
        <sz val="11"/>
        <color rgb="FFFF0000"/>
        <rFont val="Calibri"/>
        <family val="2"/>
        <charset val="1"/>
      </rPr>
      <t xml:space="preserve">(I-A)</t>
    </r>
    <r>
      <rPr>
        <vertAlign val="superscript"/>
        <sz val="11"/>
        <color rgb="FFFF0000"/>
        <rFont val="Calibri"/>
        <family val="2"/>
        <charset val="1"/>
      </rPr>
      <t xml:space="preserve">-1</t>
    </r>
  </si>
  <si>
    <t xml:space="preserve">OM2</t>
  </si>
  <si>
    <t xml:space="preserve">OM1</t>
  </si>
  <si>
    <t xml:space="preserve">Efeito Renda</t>
  </si>
  <si>
    <t xml:space="preserve">Coef Emp </t>
  </si>
  <si>
    <t xml:space="preserve">Total</t>
  </si>
  <si>
    <t xml:space="preserve">Emprego</t>
  </si>
  <si>
    <t xml:space="preserve">Mudança em X</t>
  </si>
  <si>
    <t xml:space="preserve">Mudança em Y</t>
  </si>
  <si>
    <t xml:space="preserve">Dir + Ind</t>
  </si>
  <si>
    <t xml:space="preserve">Mudança no Emprego</t>
  </si>
  <si>
    <t xml:space="preserve">Induzido</t>
  </si>
  <si>
    <t xml:space="preserve">Indireto</t>
  </si>
  <si>
    <t xml:space="preserve">Direto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</si>
</sst>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vertAlign val="superscript"/>
      <sz val="11"/>
      <color rgb="FFFF0000"/>
      <name val="Calibri"/>
      <family val="2"/>
      <charset val="1"/>
    </font>
    <font>
      <b val="true"/>
      <sz val="11"/>
      <color rgb="FF1F497D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CC00"/>
        <bgColor rgb="FFFFFF00"/>
      </patternFill>
    </fill>
    <fill>
      <patternFill patternType="solid">
        <fgColor rgb="FF00FF00"/>
        <bgColor rgb="FF33CC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1" activeCellId="0" sqref="B1"/>
    </sheetView>
  </sheetViews>
  <sheetFormatPr defaultColWidth="8.6875" defaultRowHeight="14.25" customHeight="false" zeroHeight="false" outlineLevelRow="0" outlineLevelCol="0"/>
  <cols>
    <col collapsed="false" customWidth="true" hidden="false" outlineLevel="0" max="1" min="1" style="1" width="27.56"/>
    <col collapsed="false" customWidth="true" hidden="false" outlineLevel="0" max="4" min="4" style="1" width="10"/>
    <col collapsed="false" customWidth="true" hidden="false" outlineLevel="0" max="6" min="6" style="1" width="13.27"/>
    <col collapsed="false" customWidth="true" hidden="false" outlineLevel="0" max="10" min="10" style="1" width="12.27"/>
  </cols>
  <sheetData>
    <row r="1" customFormat="false" ht="14.9" hidden="false" customHeight="false" outlineLevel="0" collapsed="false"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</row>
    <row r="2" customFormat="false" ht="14.25" hidden="false" customHeight="false" outlineLevel="0" collapsed="false">
      <c r="A2" s="1" t="s">
        <v>0</v>
      </c>
      <c r="B2" s="4" t="n">
        <v>150</v>
      </c>
      <c r="C2" s="5" t="n">
        <v>500</v>
      </c>
      <c r="D2" s="6" t="n">
        <v>50</v>
      </c>
      <c r="E2" s="7" t="n">
        <v>300</v>
      </c>
      <c r="F2" s="1" t="n">
        <f aca="false">SUM(B2:E2)</f>
        <v>1000</v>
      </c>
    </row>
    <row r="3" customFormat="false" ht="14.25" hidden="false" customHeight="false" outlineLevel="0" collapsed="false">
      <c r="A3" s="1" t="s">
        <v>1</v>
      </c>
      <c r="B3" s="8" t="n">
        <v>200</v>
      </c>
      <c r="C3" s="9" t="n">
        <v>100</v>
      </c>
      <c r="D3" s="10" t="n">
        <v>400</v>
      </c>
      <c r="E3" s="7" t="n">
        <v>1300</v>
      </c>
      <c r="F3" s="1" t="n">
        <f aca="false">SUM(B3:E3)</f>
        <v>2000</v>
      </c>
    </row>
    <row r="4" customFormat="false" ht="14.65" hidden="false" customHeight="false" outlineLevel="0" collapsed="false">
      <c r="A4" s="11" t="s">
        <v>5</v>
      </c>
      <c r="B4" s="12" t="n">
        <v>300</v>
      </c>
      <c r="C4" s="13" t="n">
        <v>500</v>
      </c>
      <c r="D4" s="14" t="n">
        <v>50</v>
      </c>
      <c r="E4" s="15" t="n">
        <v>150</v>
      </c>
      <c r="F4" s="11" t="n">
        <f aca="false">SUM(B4:E4)</f>
        <v>1000</v>
      </c>
    </row>
    <row r="5" customFormat="false" ht="14.25" hidden="false" customHeight="false" outlineLevel="0" collapsed="false">
      <c r="A5" s="11" t="s">
        <v>6</v>
      </c>
      <c r="B5" s="11" t="n">
        <v>325</v>
      </c>
      <c r="C5" s="11" t="n">
        <v>800</v>
      </c>
      <c r="D5" s="15" t="n">
        <v>300</v>
      </c>
      <c r="E5" s="15" t="n">
        <v>250</v>
      </c>
      <c r="F5" s="11" t="n">
        <f aca="false">SUM(B5:E5)</f>
        <v>1675</v>
      </c>
    </row>
    <row r="6" customFormat="false" ht="14.25" hidden="false" customHeight="false" outlineLevel="0" collapsed="false">
      <c r="A6" s="11" t="s">
        <v>7</v>
      </c>
      <c r="B6" s="11" t="n">
        <v>25</v>
      </c>
      <c r="C6" s="11" t="n">
        <v>100</v>
      </c>
      <c r="D6" s="15" t="n">
        <v>200</v>
      </c>
      <c r="E6" s="15" t="n">
        <v>150</v>
      </c>
      <c r="F6" s="11" t="n">
        <f aca="false">SUM(B6:E6)</f>
        <v>475</v>
      </c>
    </row>
    <row r="7" customFormat="false" ht="14.25" hidden="false" customHeight="false" outlineLevel="0" collapsed="false">
      <c r="A7" s="1" t="s">
        <v>4</v>
      </c>
      <c r="B7" s="1" t="n">
        <f aca="false">SUM(B2:B6)</f>
        <v>1000</v>
      </c>
      <c r="C7" s="1" t="n">
        <f aca="false">SUM(C2:C6)</f>
        <v>2000</v>
      </c>
      <c r="D7" s="7" t="n">
        <f aca="false">SUM(D2:D6)</f>
        <v>1000</v>
      </c>
      <c r="E7" s="7" t="n">
        <f aca="false">SUM(E2:E6)</f>
        <v>2150</v>
      </c>
      <c r="F7" s="1" t="n">
        <f aca="false">SUM(F2:F6)</f>
        <v>6150</v>
      </c>
    </row>
    <row r="10" customFormat="false" ht="14.25" hidden="false" customHeight="false" outlineLevel="0" collapsed="false">
      <c r="A10" s="16" t="s">
        <v>8</v>
      </c>
      <c r="B10" s="2" t="s">
        <v>0</v>
      </c>
      <c r="C10" s="2" t="s">
        <v>1</v>
      </c>
      <c r="D10" s="2" t="s">
        <v>9</v>
      </c>
    </row>
    <row r="11" customFormat="false" ht="14.25" hidden="false" customHeight="false" outlineLevel="0" collapsed="false">
      <c r="A11" s="1" t="s">
        <v>0</v>
      </c>
      <c r="B11" s="17"/>
      <c r="C11" s="17"/>
      <c r="D11" s="17"/>
    </row>
    <row r="12" customFormat="false" ht="14.25" hidden="false" customHeight="false" outlineLevel="0" collapsed="false">
      <c r="A12" s="1" t="s">
        <v>1</v>
      </c>
      <c r="B12" s="17"/>
      <c r="C12" s="17"/>
      <c r="D12" s="17"/>
    </row>
    <row r="13" customFormat="false" ht="14.25" hidden="false" customHeight="false" outlineLevel="0" collapsed="false">
      <c r="A13" s="1" t="s">
        <v>10</v>
      </c>
      <c r="B13" s="17"/>
      <c r="C13" s="17"/>
      <c r="D13" s="17"/>
    </row>
    <row r="15" customFormat="false" ht="14.25" hidden="false" customHeight="false" outlineLevel="0" collapsed="false">
      <c r="A15" s="16" t="s">
        <v>11</v>
      </c>
      <c r="B15" s="2" t="s">
        <v>0</v>
      </c>
      <c r="C15" s="2" t="s">
        <v>1</v>
      </c>
      <c r="D15" s="2" t="s">
        <v>12</v>
      </c>
    </row>
    <row r="16" customFormat="false" ht="14.25" hidden="false" customHeight="false" outlineLevel="0" collapsed="false">
      <c r="A16" s="1" t="s">
        <v>0</v>
      </c>
      <c r="B16" s="17" t="n">
        <v>1</v>
      </c>
      <c r="C16" s="17" t="n">
        <v>0</v>
      </c>
      <c r="D16" s="17" t="n">
        <v>0</v>
      </c>
    </row>
    <row r="17" customFormat="false" ht="14.25" hidden="false" customHeight="false" outlineLevel="0" collapsed="false">
      <c r="A17" s="1" t="s">
        <v>1</v>
      </c>
      <c r="B17" s="17" t="n">
        <v>0</v>
      </c>
      <c r="C17" s="17" t="n">
        <v>1</v>
      </c>
      <c r="D17" s="17" t="n">
        <v>0</v>
      </c>
    </row>
    <row r="18" customFormat="false" ht="14.25" hidden="false" customHeight="false" outlineLevel="0" collapsed="false">
      <c r="A18" s="1" t="s">
        <v>12</v>
      </c>
      <c r="B18" s="17" t="n">
        <v>0</v>
      </c>
      <c r="C18" s="17" t="n">
        <v>0</v>
      </c>
      <c r="D18" s="17" t="n">
        <v>1</v>
      </c>
    </row>
    <row r="20" customFormat="false" ht="14.9" hidden="false" customHeight="false" outlineLevel="0" collapsed="false">
      <c r="A20" s="16" t="s">
        <v>13</v>
      </c>
      <c r="B20" s="2" t="s">
        <v>0</v>
      </c>
      <c r="C20" s="2" t="s">
        <v>1</v>
      </c>
      <c r="D20" s="2" t="s">
        <v>14</v>
      </c>
      <c r="F20" s="16" t="s">
        <v>15</v>
      </c>
      <c r="G20" s="2" t="s">
        <v>0</v>
      </c>
      <c r="H20" s="2" t="s">
        <v>1</v>
      </c>
      <c r="I20" s="2" t="s">
        <v>14</v>
      </c>
      <c r="K20" s="16" t="s">
        <v>15</v>
      </c>
    </row>
    <row r="21" customFormat="false" ht="14.25" hidden="false" customHeight="false" outlineLevel="0" collapsed="false">
      <c r="A21" s="1" t="s">
        <v>0</v>
      </c>
      <c r="B21" s="17"/>
      <c r="C21" s="17"/>
      <c r="D21" s="17"/>
      <c r="F21" s="1" t="s">
        <v>0</v>
      </c>
      <c r="G21" s="18"/>
      <c r="H21" s="19"/>
      <c r="I21" s="17"/>
      <c r="K21" s="17" t="e">
        <f aca="false" t="array" ref="K21:L22">MINVERSE(B21:C22)</f>
        <v>#VALUE!</v>
      </c>
      <c r="L21" s="17" t="e">
        <v>#VALUE!</v>
      </c>
      <c r="M21" s="17"/>
    </row>
    <row r="22" customFormat="false" ht="14.25" hidden="false" customHeight="false" outlineLevel="0" collapsed="false">
      <c r="A22" s="1" t="s">
        <v>1</v>
      </c>
      <c r="B22" s="17"/>
      <c r="C22" s="17"/>
      <c r="D22" s="17"/>
      <c r="F22" s="1" t="s">
        <v>1</v>
      </c>
      <c r="G22" s="20"/>
      <c r="H22" s="21"/>
      <c r="I22" s="17"/>
      <c r="K22" s="17" t="e">
        <v>#VALUE!</v>
      </c>
      <c r="L22" s="17" t="e">
        <v>#VALUE!</v>
      </c>
      <c r="M22" s="17"/>
    </row>
    <row r="23" customFormat="false" ht="14.25" hidden="false" customHeight="false" outlineLevel="0" collapsed="false">
      <c r="A23" s="1" t="s">
        <v>14</v>
      </c>
      <c r="B23" s="17"/>
      <c r="C23" s="17"/>
      <c r="D23" s="17"/>
      <c r="F23" s="1" t="s">
        <v>14</v>
      </c>
      <c r="G23" s="17"/>
      <c r="H23" s="17"/>
      <c r="I23" s="17"/>
    </row>
    <row r="25" customFormat="false" ht="14.25" hidden="false" customHeight="false" outlineLevel="0" collapsed="false">
      <c r="F25" s="1" t="s">
        <v>16</v>
      </c>
      <c r="G25" s="17" t="n">
        <f aca="false">SUM(G21:G22)</f>
        <v>0</v>
      </c>
      <c r="H25" s="17" t="n">
        <f aca="false">SUM(H21:H22)</f>
        <v>0</v>
      </c>
      <c r="I25" s="17"/>
      <c r="J25" s="1" t="s">
        <v>17</v>
      </c>
      <c r="K25" s="17" t="e">
        <f aca="false">SUM(K21:K22)</f>
        <v>#VALUE!</v>
      </c>
      <c r="L25" s="17" t="e">
        <f aca="false">SUM(L21:L22)</f>
        <v>#VALUE!</v>
      </c>
      <c r="M25" s="17"/>
    </row>
    <row r="27" customFormat="false" ht="14.25" hidden="false" customHeight="false" outlineLevel="0" collapsed="false">
      <c r="F27" s="1" t="s">
        <v>18</v>
      </c>
      <c r="G27" s="2" t="s">
        <v>0</v>
      </c>
      <c r="H27" s="2" t="s">
        <v>1</v>
      </c>
    </row>
    <row r="28" customFormat="false" ht="14.25" hidden="false" customHeight="false" outlineLevel="0" collapsed="false">
      <c r="F28" s="1" t="s">
        <v>0</v>
      </c>
      <c r="G28" s="17" t="e">
        <f aca="false">G21-K21</f>
        <v>#VALUE!</v>
      </c>
      <c r="H28" s="17" t="e">
        <f aca="false">H21-L21</f>
        <v>#VALUE!</v>
      </c>
    </row>
    <row r="29" customFormat="false" ht="14.25" hidden="false" customHeight="false" outlineLevel="0" collapsed="false">
      <c r="F29" s="1" t="s">
        <v>1</v>
      </c>
      <c r="G29" s="17" t="e">
        <f aca="false">G22-K22</f>
        <v>#VALUE!</v>
      </c>
      <c r="H29" s="17" t="e">
        <f aca="false">H22-L22</f>
        <v>#VALUE!</v>
      </c>
    </row>
    <row r="30" customFormat="false" ht="14.25" hidden="false" customHeight="false" outlineLevel="0" collapsed="false">
      <c r="G30" s="17" t="e">
        <f aca="false">SUM(G28:G29)</f>
        <v>#VALUE!</v>
      </c>
      <c r="H30" s="17" t="e">
        <f aca="false">SUM(H28:H29)</f>
        <v>#VALUE!</v>
      </c>
    </row>
    <row r="32" customFormat="false" ht="14.65" hidden="false" customHeight="false" outlineLevel="0" collapsed="false">
      <c r="F32" s="22" t="s">
        <v>19</v>
      </c>
      <c r="J32" s="1" t="s">
        <v>20</v>
      </c>
      <c r="K32" s="1" t="s">
        <v>0</v>
      </c>
      <c r="L32" s="1" t="s">
        <v>1</v>
      </c>
    </row>
    <row r="33" customFormat="false" ht="14.25" hidden="false" customHeight="false" outlineLevel="0" collapsed="false">
      <c r="A33" s="22" t="s">
        <v>19</v>
      </c>
      <c r="B33" s="1" t="n">
        <v>0.3</v>
      </c>
      <c r="C33" s="1" t="n">
        <v>0.25</v>
      </c>
      <c r="E33" s="22" t="s">
        <v>0</v>
      </c>
      <c r="F33" s="1" t="n">
        <v>0.3</v>
      </c>
      <c r="G33" s="1" t="n">
        <v>0</v>
      </c>
      <c r="J33" s="1" t="s">
        <v>21</v>
      </c>
      <c r="K33" s="23" t="e">
        <f aca="false" t="array" ref="K33:L34">MMULT(F33:G34,G21:H22)</f>
        <v>#VALUE!</v>
      </c>
      <c r="L33" s="24" t="e">
        <v>#VALUE!</v>
      </c>
    </row>
    <row r="34" customFormat="false" ht="14.65" hidden="false" customHeight="false" outlineLevel="0" collapsed="false">
      <c r="E34" s="22" t="s">
        <v>1</v>
      </c>
      <c r="F34" s="1" t="n">
        <v>0</v>
      </c>
      <c r="G34" s="1" t="n">
        <v>0.25</v>
      </c>
      <c r="K34" s="25" t="e">
        <v>#VALUE!</v>
      </c>
      <c r="L34" s="26" t="e">
        <v>#VALUE!</v>
      </c>
    </row>
    <row r="35" customFormat="false" ht="14.25" hidden="false" customHeight="false" outlineLevel="0" collapsed="false">
      <c r="K35" s="17" t="e">
        <f aca="false">SUM(K33:K34)</f>
        <v>#VALUE!</v>
      </c>
      <c r="L35" s="17" t="e">
        <f aca="false">SUM(L33:L34)</f>
        <v>#VALUE!</v>
      </c>
    </row>
    <row r="36" customFormat="false" ht="14.65" hidden="false" customHeight="false" outlineLevel="0" collapsed="false"/>
    <row r="37" customFormat="false" ht="14.25" hidden="false" customHeight="false" outlineLevel="0" collapsed="false">
      <c r="A37" s="4"/>
      <c r="B37" s="27" t="s">
        <v>22</v>
      </c>
      <c r="C37" s="5"/>
      <c r="D37" s="28" t="s">
        <v>23</v>
      </c>
      <c r="J37" s="1" t="s">
        <v>24</v>
      </c>
      <c r="K37" s="23" t="e">
        <f aca="false" t="array" ref="K37:L38">MMULT(F33:G34,K21:L22)</f>
        <v>#VALUE!</v>
      </c>
      <c r="L37" s="24" t="e">
        <v>#VALUE!</v>
      </c>
    </row>
    <row r="38" customFormat="false" ht="14.25" hidden="false" customHeight="false" outlineLevel="0" collapsed="false">
      <c r="A38" s="29" t="s">
        <v>0</v>
      </c>
      <c r="B38" s="30"/>
      <c r="C38" s="9"/>
      <c r="D38" s="31" t="n">
        <v>10</v>
      </c>
      <c r="K38" s="25" t="e">
        <v>#VALUE!</v>
      </c>
      <c r="L38" s="26" t="e">
        <v>#VALUE!</v>
      </c>
    </row>
    <row r="39" customFormat="false" ht="14.25" hidden="false" customHeight="false" outlineLevel="0" collapsed="false">
      <c r="A39" s="29" t="s">
        <v>1</v>
      </c>
      <c r="B39" s="30"/>
      <c r="C39" s="9"/>
      <c r="D39" s="31" t="n">
        <v>20</v>
      </c>
      <c r="K39" s="17" t="e">
        <f aca="false">SUM(K37:K38)</f>
        <v>#VALUE!</v>
      </c>
      <c r="L39" s="17" t="e">
        <f aca="false">SUM(L37:L38)</f>
        <v>#VALUE!</v>
      </c>
    </row>
    <row r="40" customFormat="false" ht="14.25" hidden="false" customHeight="false" outlineLevel="0" collapsed="false">
      <c r="A40" s="29" t="s">
        <v>14</v>
      </c>
      <c r="C40" s="9"/>
      <c r="D40" s="31" t="n">
        <v>0</v>
      </c>
    </row>
    <row r="41" customFormat="false" ht="14.25" hidden="false" customHeight="false" outlineLevel="0" collapsed="false">
      <c r="A41" s="32" t="s">
        <v>20</v>
      </c>
      <c r="B41" s="30" t="n">
        <f aca="false">SUM(B38:B39)</f>
        <v>0</v>
      </c>
      <c r="C41" s="9"/>
      <c r="D41" s="31"/>
      <c r="J41" s="1" t="s">
        <v>21</v>
      </c>
      <c r="K41" s="2" t="s">
        <v>0</v>
      </c>
      <c r="L41" s="2" t="s">
        <v>1</v>
      </c>
    </row>
    <row r="42" customFormat="false" ht="14.25" hidden="false" customHeight="false" outlineLevel="0" collapsed="false">
      <c r="A42" s="32"/>
      <c r="B42" s="30"/>
      <c r="C42" s="9"/>
      <c r="D42" s="31"/>
      <c r="K42" s="2"/>
      <c r="L42" s="2"/>
    </row>
    <row r="43" customFormat="false" ht="14.25" hidden="false" customHeight="false" outlineLevel="0" collapsed="false">
      <c r="A43" s="33"/>
      <c r="B43" s="34" t="s">
        <v>25</v>
      </c>
      <c r="C43" s="9"/>
      <c r="D43" s="31"/>
      <c r="J43" s="1" t="s">
        <v>26</v>
      </c>
      <c r="K43" s="17" t="e">
        <f aca="false">K35-K39</f>
        <v>#VALUE!</v>
      </c>
      <c r="L43" s="17" t="e">
        <f aca="false">L35-L39</f>
        <v>#VALUE!</v>
      </c>
    </row>
    <row r="44" customFormat="false" ht="14.25" hidden="false" customHeight="false" outlineLevel="0" collapsed="false">
      <c r="A44" s="29" t="s">
        <v>0</v>
      </c>
      <c r="B44" s="30"/>
      <c r="C44" s="9"/>
      <c r="D44" s="31"/>
    </row>
    <row r="45" customFormat="false" ht="14.25" hidden="false" customHeight="false" outlineLevel="0" collapsed="false">
      <c r="A45" s="29" t="s">
        <v>1</v>
      </c>
      <c r="B45" s="30"/>
      <c r="C45" s="9"/>
      <c r="D45" s="31"/>
      <c r="J45" s="1" t="s">
        <v>27</v>
      </c>
      <c r="K45" s="17" t="e">
        <f aca="false">K39-F33</f>
        <v>#VALUE!</v>
      </c>
      <c r="L45" s="17" t="e">
        <f aca="false">L39-G34</f>
        <v>#VALUE!</v>
      </c>
    </row>
    <row r="46" customFormat="false" ht="14.25" hidden="false" customHeight="false" outlineLevel="0" collapsed="false">
      <c r="A46" s="29" t="s">
        <v>14</v>
      </c>
      <c r="B46" s="30"/>
      <c r="C46" s="9"/>
      <c r="D46" s="31"/>
      <c r="K46" s="17"/>
      <c r="L46" s="17"/>
    </row>
    <row r="47" customFormat="false" ht="14.25" hidden="false" customHeight="false" outlineLevel="0" collapsed="false">
      <c r="A47" s="35" t="s">
        <v>20</v>
      </c>
      <c r="B47" s="36" t="n">
        <f aca="false">SUM(B44:B45)</f>
        <v>0</v>
      </c>
      <c r="C47" s="37"/>
      <c r="D47" s="38"/>
      <c r="J47" s="1" t="s">
        <v>28</v>
      </c>
      <c r="K47" s="1" t="n">
        <f aca="false">F33</f>
        <v>0.3</v>
      </c>
      <c r="L47" s="1" t="n">
        <f aca="false">G34</f>
        <v>0.25</v>
      </c>
    </row>
    <row r="49" customFormat="false" ht="14.25" hidden="false" customHeight="false" outlineLevel="0" collapsed="false">
      <c r="J49" s="1" t="s">
        <v>20</v>
      </c>
      <c r="K49" s="17" t="e">
        <f aca="false">SUM(K43:K48)</f>
        <v>#VALUE!</v>
      </c>
      <c r="L49" s="17" t="e">
        <f aca="false">SUM(L43:L48)</f>
        <v>#VALUE!</v>
      </c>
    </row>
    <row r="50" customFormat="false" ht="14.25" hidden="false" customHeight="false" outlineLevel="0" collapsed="false">
      <c r="J50" s="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646</TotalTime>
  <Application>LibreOffice/25.8.6.2$Linux_X86_64 LibreOffice_project/a46b460d1686bb49c718d2ef5f88b83ff2dc4981</Application>
  <AppVersion>15.0000</AppVersion>
  <Company>USP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2009-01-26T14:08:28Z</dcterms:created>
  <dc:creator>Joaquim José Martins Guilhoto</dc:creator>
  <dc:description/>
  <dc:language>en-US</dc:language>
  <cp:lastModifiedBy/>
  <dcterms:modified xsi:type="dcterms:W3CDTF">2026-04-22T21:04:28Z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