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mplo 1 -Modelo de  Leontie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<sst xmlns="http://schemas.openxmlformats.org/spreadsheetml/2006/main" count="63" uniqueCount="23">
  <si>
    <t xml:space="preserve">Matriz de IP</t>
  </si>
  <si>
    <t xml:space="preserve">S1</t>
  </si>
  <si>
    <t xml:space="preserve">S2</t>
  </si>
  <si>
    <t xml:space="preserve">Y</t>
  </si>
  <si>
    <t xml:space="preserve">X</t>
  </si>
  <si>
    <t xml:space="preserve">W</t>
  </si>
  <si>
    <t xml:space="preserve">Emprego</t>
  </si>
  <si>
    <t xml:space="preserve">Matriz A</t>
  </si>
  <si>
    <r>
      <rPr>
        <sz val="11"/>
        <color rgb="FFFF0000"/>
        <rFont val="Calibri"/>
        <family val="2"/>
        <charset val="1"/>
      </rPr>
      <t xml:space="preserve">A</t>
    </r>
    <r>
      <rPr>
        <vertAlign val="superscript"/>
        <sz val="11"/>
        <color rgb="FFFF0000"/>
        <rFont val="Calibri"/>
        <family val="2"/>
        <charset val="1"/>
      </rPr>
      <t xml:space="preserve">2</t>
    </r>
  </si>
  <si>
    <r>
      <rPr>
        <sz val="11"/>
        <color rgb="FFFF0000"/>
        <rFont val="Calibri"/>
        <family val="2"/>
        <charset val="1"/>
      </rPr>
      <t xml:space="preserve">A</t>
    </r>
    <r>
      <rPr>
        <vertAlign val="superscript"/>
        <sz val="11"/>
        <color rgb="FFFF0000"/>
        <rFont val="Calibri"/>
        <family val="2"/>
        <charset val="1"/>
      </rPr>
      <t xml:space="preserve">3</t>
    </r>
  </si>
  <si>
    <t xml:space="preserve">Identidade</t>
  </si>
  <si>
    <t xml:space="preserve">(I-A)</t>
  </si>
  <si>
    <r>
      <rPr>
        <sz val="11"/>
        <color rgb="FFFF0000"/>
        <rFont val="Calibri"/>
        <family val="2"/>
        <charset val="1"/>
      </rPr>
      <t xml:space="preserve">(I-A)</t>
    </r>
    <r>
      <rPr>
        <vertAlign val="superscript"/>
        <sz val="11"/>
        <color rgb="FFFF0000"/>
        <rFont val="Calibri"/>
        <family val="2"/>
        <charset val="1"/>
      </rPr>
      <t xml:space="preserve">-1</t>
    </r>
  </si>
  <si>
    <r>
      <rPr>
        <sz val="11"/>
        <color rgb="FFFF0000"/>
        <rFont val="Calibri"/>
        <family val="2"/>
        <charset val="1"/>
      </rPr>
      <t xml:space="preserve">A</t>
    </r>
    <r>
      <rPr>
        <vertAlign val="superscript"/>
        <sz val="11"/>
        <color rgb="FFFF0000"/>
        <rFont val="Calibri"/>
        <family val="2"/>
        <charset val="1"/>
      </rPr>
      <t xml:space="preserve">1</t>
    </r>
    <r>
      <rPr>
        <sz val="11"/>
        <color rgb="FFFF0000"/>
        <rFont val="Calibri"/>
        <family val="2"/>
        <charset val="1"/>
      </rPr>
      <t xml:space="preserve">+A</t>
    </r>
    <r>
      <rPr>
        <vertAlign val="superscript"/>
        <sz val="11"/>
        <color rgb="FFFF0000"/>
        <rFont val="Calibri"/>
        <family val="2"/>
        <charset val="1"/>
      </rPr>
      <t xml:space="preserve">2</t>
    </r>
    <r>
      <rPr>
        <sz val="11"/>
        <color rgb="FFFF0000"/>
        <rFont val="Calibri"/>
        <family val="2"/>
        <charset val="1"/>
      </rPr>
      <t xml:space="preserve">+A</t>
    </r>
    <r>
      <rPr>
        <vertAlign val="superscript"/>
        <sz val="11"/>
        <color rgb="FFFF0000"/>
        <rFont val="Calibri"/>
        <family val="2"/>
        <charset val="1"/>
      </rPr>
      <t xml:space="preserve">3</t>
    </r>
  </si>
  <si>
    <t xml:space="preserve">Total</t>
  </si>
  <si>
    <t xml:space="preserve">Coef Emp </t>
  </si>
  <si>
    <t xml:space="preserve">Multiplicador de Emprego</t>
  </si>
  <si>
    <t xml:space="preserve">Gerador de Emprego</t>
  </si>
  <si>
    <t xml:space="preserve">Mudança em X</t>
  </si>
  <si>
    <t xml:space="preserve">Mudança em Y</t>
  </si>
  <si>
    <t xml:space="preserve">Mudança no emprego</t>
  </si>
  <si>
    <t xml:space="preserve">A</t>
  </si>
  <si>
    <t xml:space="preserve">(I-A)^-1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</si>
</sst>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.000"/>
    <numFmt numFmtId="167" formatCode="0.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0000"/>
      <name val="Calibri"/>
      <family val="2"/>
      <charset val="1"/>
    </font>
    <font>
      <vertAlign val="superscript"/>
      <sz val="11"/>
      <color rgb="FFFF0000"/>
      <name val="Calibri"/>
      <family val="2"/>
      <charset val="1"/>
    </font>
    <font>
      <b val="true"/>
      <sz val="11"/>
      <color rgb="FF1F497D"/>
      <name val="Calibri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B7DEE8"/>
        <bgColor rgb="FF99CCFF"/>
      </patternFill>
    </fill>
    <fill>
      <patternFill patternType="solid">
        <fgColor rgb="FFFAC090"/>
        <bgColor rgb="FFC4BD97"/>
      </patternFill>
    </fill>
    <fill>
      <patternFill patternType="solid">
        <fgColor rgb="FF92D050"/>
        <bgColor rgb="FFC4BD97"/>
      </patternFill>
    </fill>
    <fill>
      <patternFill patternType="solid">
        <fgColor rgb="FFC4BD97"/>
        <bgColor rgb="FFFAC09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BD9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7DE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9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93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B1" activeCellId="0" sqref="B1"/>
    </sheetView>
  </sheetViews>
  <sheetFormatPr defaultColWidth="8.6875" defaultRowHeight="14.25" customHeight="false" zeroHeight="false" outlineLevelRow="0" outlineLevelCol="0"/>
  <cols>
    <col collapsed="false" customWidth="true" hidden="false" outlineLevel="0" max="1" min="1" style="1" width="16.6"/>
    <col collapsed="false" customWidth="true" hidden="false" outlineLevel="0" max="4" min="4" style="1" width="8.76"/>
    <col collapsed="false" customWidth="true" hidden="false" outlineLevel="0" max="9" min="9" style="1" width="11.39"/>
  </cols>
  <sheetData>
    <row r="1" customFormat="false" ht="14.65" hidden="false" customHeight="false" outlineLevel="0" collapsed="false">
      <c r="A1" s="2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customFormat="false" ht="14.25" hidden="false" customHeight="false" outlineLevel="0" collapsed="false">
      <c r="A2" s="6" t="s">
        <v>1</v>
      </c>
      <c r="B2" s="7" t="n">
        <v>150</v>
      </c>
      <c r="C2" s="8" t="n">
        <v>500</v>
      </c>
      <c r="D2" s="9" t="n">
        <v>350</v>
      </c>
      <c r="E2" s="10" t="n">
        <f aca="false">SUM(B2:D2)</f>
        <v>1000</v>
      </c>
    </row>
    <row r="3" customFormat="false" ht="14.65" hidden="false" customHeight="false" outlineLevel="0" collapsed="false">
      <c r="A3" s="6" t="s">
        <v>2</v>
      </c>
      <c r="B3" s="11" t="n">
        <v>200</v>
      </c>
      <c r="C3" s="12" t="n">
        <v>100</v>
      </c>
      <c r="D3" s="13" t="n">
        <v>1700</v>
      </c>
      <c r="E3" s="14" t="n">
        <f aca="false">SUM(B3:D3)</f>
        <v>2000</v>
      </c>
    </row>
    <row r="4" customFormat="false" ht="14.65" hidden="false" customHeight="false" outlineLevel="0" collapsed="false">
      <c r="A4" s="15" t="s">
        <v>5</v>
      </c>
      <c r="B4" s="16" t="n">
        <v>650</v>
      </c>
      <c r="C4" s="17" t="n">
        <v>1400</v>
      </c>
    </row>
    <row r="5" customFormat="false" ht="14.65" hidden="false" customHeight="false" outlineLevel="0" collapsed="false">
      <c r="A5" s="18" t="s">
        <v>4</v>
      </c>
      <c r="B5" s="19" t="n">
        <f aca="false">SUM(B2:B4)</f>
        <v>1000</v>
      </c>
      <c r="C5" s="20" t="n">
        <f aca="false">SUM(C2:C4)</f>
        <v>2000</v>
      </c>
      <c r="E5" s="1" t="n">
        <f aca="false">SUM(B5:D5)</f>
        <v>3000</v>
      </c>
    </row>
    <row r="6" customFormat="false" ht="14.25" hidden="false" customHeight="false" outlineLevel="0" collapsed="false">
      <c r="A6" s="21" t="s">
        <v>6</v>
      </c>
      <c r="B6" s="22" t="n">
        <v>300</v>
      </c>
      <c r="C6" s="22" t="n">
        <v>800</v>
      </c>
    </row>
    <row r="7" customFormat="false" ht="14.65" hidden="false" customHeight="false" outlineLevel="0" collapsed="false"/>
    <row r="8" customFormat="false" ht="14.9" hidden="false" customHeight="false" outlineLevel="0" collapsed="false">
      <c r="A8" s="23" t="s">
        <v>7</v>
      </c>
      <c r="B8" s="24" t="s">
        <v>1</v>
      </c>
      <c r="C8" s="24" t="s">
        <v>2</v>
      </c>
      <c r="D8" s="25"/>
      <c r="E8" s="26" t="s">
        <v>8</v>
      </c>
      <c r="F8" s="26" t="s">
        <v>1</v>
      </c>
      <c r="G8" s="26" t="s">
        <v>2</v>
      </c>
      <c r="H8" s="25"/>
      <c r="I8" s="26" t="s">
        <v>9</v>
      </c>
      <c r="J8" s="26" t="s">
        <v>1</v>
      </c>
      <c r="K8" s="27" t="s">
        <v>2</v>
      </c>
    </row>
    <row r="9" customFormat="false" ht="14.25" hidden="false" customHeight="false" outlineLevel="0" collapsed="false">
      <c r="A9" s="28" t="s">
        <v>1</v>
      </c>
      <c r="B9" s="29"/>
      <c r="C9" s="29"/>
      <c r="D9" s="30"/>
      <c r="E9" s="31" t="s">
        <v>1</v>
      </c>
      <c r="F9" s="32" t="e">
        <f aca="false" t="array" ref="F9:G10">MMULT(B9:C10,B9:C10)</f>
        <v>#VALUE!</v>
      </c>
      <c r="G9" s="32" t="e">
        <v>#VALUE!</v>
      </c>
      <c r="H9" s="30"/>
      <c r="I9" s="31" t="s">
        <v>1</v>
      </c>
      <c r="J9" s="32" t="e">
        <f aca="false" t="array" ref="J9:K10">MMULT(F9:G10,B9:C10)</f>
        <v>#VALUE!</v>
      </c>
      <c r="K9" s="33" t="e">
        <v>#VALUE!</v>
      </c>
    </row>
    <row r="10" customFormat="false" ht="14.65" hidden="false" customHeight="false" outlineLevel="0" collapsed="false">
      <c r="A10" s="34" t="s">
        <v>2</v>
      </c>
      <c r="B10" s="35"/>
      <c r="C10" s="35"/>
      <c r="D10" s="36"/>
      <c r="E10" s="37" t="s">
        <v>2</v>
      </c>
      <c r="F10" s="38" t="e">
        <v>#VALUE!</v>
      </c>
      <c r="G10" s="38" t="e">
        <v>#VALUE!</v>
      </c>
      <c r="H10" s="36"/>
      <c r="I10" s="37" t="s">
        <v>2</v>
      </c>
      <c r="J10" s="38" t="e">
        <v>#VALUE!</v>
      </c>
      <c r="K10" s="39" t="e">
        <v>#VALUE!</v>
      </c>
    </row>
    <row r="12" customFormat="false" ht="14.25" hidden="false" customHeight="false" outlineLevel="0" collapsed="false">
      <c r="A12" s="40" t="s">
        <v>10</v>
      </c>
      <c r="B12" s="40" t="n">
        <v>1</v>
      </c>
      <c r="C12" s="40" t="n">
        <v>2</v>
      </c>
    </row>
    <row r="13" customFormat="false" ht="14.25" hidden="false" customHeight="false" outlineLevel="0" collapsed="false">
      <c r="A13" s="40" t="n">
        <v>1</v>
      </c>
      <c r="B13" s="1" t="n">
        <v>1</v>
      </c>
      <c r="C13" s="1" t="n">
        <v>0</v>
      </c>
    </row>
    <row r="14" customFormat="false" ht="14.25" hidden="false" customHeight="false" outlineLevel="0" collapsed="false">
      <c r="A14" s="40" t="n">
        <v>2</v>
      </c>
      <c r="B14" s="1" t="n">
        <v>0</v>
      </c>
      <c r="C14" s="1" t="n">
        <v>1</v>
      </c>
    </row>
    <row r="16" customFormat="false" ht="14.25" hidden="false" customHeight="false" outlineLevel="0" collapsed="false">
      <c r="A16" s="40" t="s">
        <v>11</v>
      </c>
      <c r="B16" s="40" t="n">
        <v>1</v>
      </c>
      <c r="C16" s="40" t="n">
        <v>2</v>
      </c>
    </row>
    <row r="17" customFormat="false" ht="14.25" hidden="false" customHeight="false" outlineLevel="0" collapsed="false">
      <c r="A17" s="40" t="n">
        <v>1</v>
      </c>
      <c r="B17" s="41"/>
      <c r="C17" s="41"/>
    </row>
    <row r="18" customFormat="false" ht="14.25" hidden="false" customHeight="false" outlineLevel="0" collapsed="false">
      <c r="A18" s="40" t="n">
        <v>2</v>
      </c>
      <c r="B18" s="41"/>
      <c r="C18" s="41"/>
    </row>
    <row r="19" customFormat="false" ht="14.65" hidden="false" customHeight="false" outlineLevel="0" collapsed="false"/>
    <row r="20" customFormat="false" ht="14.9" hidden="false" customHeight="false" outlineLevel="0" collapsed="false">
      <c r="A20" s="23" t="s">
        <v>12</v>
      </c>
      <c r="B20" s="24" t="n">
        <v>1</v>
      </c>
      <c r="C20" s="42" t="n">
        <v>2</v>
      </c>
      <c r="I20" s="43" t="s">
        <v>13</v>
      </c>
      <c r="J20" s="26" t="s">
        <v>1</v>
      </c>
      <c r="K20" s="27" t="s">
        <v>2</v>
      </c>
    </row>
    <row r="21" customFormat="false" ht="14.25" hidden="false" customHeight="false" outlineLevel="0" collapsed="false">
      <c r="A21" s="28" t="n">
        <v>1</v>
      </c>
      <c r="B21" s="32"/>
      <c r="C21" s="33"/>
      <c r="I21" s="28" t="s">
        <v>1</v>
      </c>
      <c r="J21" s="32" t="e">
        <f aca="false">B13+B9+F9+J9</f>
        <v>#VALUE!</v>
      </c>
      <c r="K21" s="33" t="e">
        <f aca="false">C13+C9+G9+K9</f>
        <v>#VALUE!</v>
      </c>
    </row>
    <row r="22" customFormat="false" ht="14.65" hidden="false" customHeight="false" outlineLevel="0" collapsed="false">
      <c r="A22" s="28" t="n">
        <v>2</v>
      </c>
      <c r="B22" s="32"/>
      <c r="C22" s="33"/>
      <c r="I22" s="34" t="s">
        <v>2</v>
      </c>
      <c r="J22" s="38" t="e">
        <f aca="false">B14+B10+F10+J10</f>
        <v>#VALUE!</v>
      </c>
      <c r="K22" s="39" t="e">
        <f aca="false">C14+C10+G10+K10</f>
        <v>#VALUE!</v>
      </c>
    </row>
    <row r="23" customFormat="false" ht="14.65" hidden="false" customHeight="false" outlineLevel="0" collapsed="false">
      <c r="A23" s="44" t="s">
        <v>14</v>
      </c>
      <c r="B23" s="38" t="n">
        <f aca="false">SUM(B21:B22)</f>
        <v>0</v>
      </c>
      <c r="C23" s="39" t="n">
        <f aca="false">SUM(C21:C22)</f>
        <v>0</v>
      </c>
      <c r="J23" s="45"/>
    </row>
    <row r="24" customFormat="false" ht="14.65" hidden="false" customHeight="false" outlineLevel="0" collapsed="false">
      <c r="B24" s="41"/>
      <c r="C24" s="41"/>
    </row>
    <row r="25" customFormat="false" ht="14.25" hidden="false" customHeight="false" outlineLevel="0" collapsed="false">
      <c r="A25" s="46"/>
      <c r="B25" s="25"/>
      <c r="C25" s="25"/>
      <c r="D25" s="25"/>
      <c r="E25" s="24" t="s">
        <v>15</v>
      </c>
      <c r="F25" s="26" t="s">
        <v>1</v>
      </c>
      <c r="G25" s="26" t="s">
        <v>2</v>
      </c>
      <c r="H25" s="25"/>
      <c r="I25" s="24" t="s">
        <v>6</v>
      </c>
      <c r="J25" s="26" t="s">
        <v>1</v>
      </c>
      <c r="K25" s="27" t="s">
        <v>2</v>
      </c>
    </row>
    <row r="26" customFormat="false" ht="14.25" hidden="false" customHeight="false" outlineLevel="0" collapsed="false">
      <c r="A26" s="47" t="s">
        <v>15</v>
      </c>
      <c r="B26" s="30"/>
      <c r="C26" s="30"/>
      <c r="D26" s="30"/>
      <c r="E26" s="48" t="s">
        <v>1</v>
      </c>
      <c r="F26" s="30"/>
      <c r="G26" s="30"/>
      <c r="H26" s="30"/>
      <c r="I26" s="48" t="s">
        <v>1</v>
      </c>
      <c r="J26" s="29"/>
      <c r="K26" s="49"/>
    </row>
    <row r="27" customFormat="false" ht="14.25" hidden="false" customHeight="false" outlineLevel="0" collapsed="false">
      <c r="A27" s="50"/>
      <c r="B27" s="30"/>
      <c r="C27" s="30"/>
      <c r="D27" s="30"/>
      <c r="E27" s="48" t="s">
        <v>2</v>
      </c>
      <c r="F27" s="30"/>
      <c r="G27" s="30"/>
      <c r="H27" s="30"/>
      <c r="I27" s="48" t="s">
        <v>2</v>
      </c>
      <c r="J27" s="29"/>
      <c r="K27" s="49"/>
    </row>
    <row r="28" customFormat="false" ht="14.25" hidden="false" customHeight="false" outlineLevel="0" collapsed="false">
      <c r="A28" s="28"/>
      <c r="B28" s="51"/>
      <c r="C28" s="51"/>
      <c r="D28" s="30"/>
      <c r="E28" s="30"/>
      <c r="F28" s="30"/>
      <c r="G28" s="30"/>
      <c r="H28" s="30"/>
      <c r="I28" s="52" t="s">
        <v>14</v>
      </c>
      <c r="J28" s="29" t="n">
        <f aca="false">SUM(J26:J27)</f>
        <v>0</v>
      </c>
      <c r="K28" s="49" t="n">
        <f aca="false">SUM(K26:K27)</f>
        <v>0</v>
      </c>
    </row>
    <row r="29" customFormat="false" ht="14.25" hidden="false" customHeight="false" outlineLevel="0" collapsed="false">
      <c r="A29" s="50"/>
      <c r="B29" s="30"/>
      <c r="C29" s="30"/>
      <c r="D29" s="30"/>
      <c r="E29" s="30"/>
      <c r="F29" s="30"/>
      <c r="G29" s="30"/>
      <c r="H29" s="30"/>
      <c r="I29" s="30"/>
      <c r="J29" s="30"/>
      <c r="K29" s="53"/>
    </row>
    <row r="30" customFormat="false" ht="14.25" hidden="false" customHeight="false" outlineLevel="0" collapsed="false">
      <c r="A30" s="50"/>
      <c r="B30" s="29"/>
      <c r="C30" s="29"/>
      <c r="D30" s="30"/>
      <c r="E30" s="30"/>
      <c r="F30" s="31" t="s">
        <v>16</v>
      </c>
      <c r="G30" s="30"/>
      <c r="H30" s="30"/>
      <c r="I30" s="30"/>
      <c r="J30" s="31" t="s">
        <v>17</v>
      </c>
      <c r="K30" s="53"/>
    </row>
    <row r="31" customFormat="false" ht="14.25" hidden="false" customHeight="false" outlineLevel="0" collapsed="false">
      <c r="A31" s="50"/>
      <c r="B31" s="29"/>
      <c r="C31" s="30"/>
      <c r="D31" s="30"/>
      <c r="E31" s="30"/>
      <c r="F31" s="48" t="s">
        <v>1</v>
      </c>
      <c r="G31" s="29"/>
      <c r="H31" s="30"/>
      <c r="I31" s="48" t="s">
        <v>1</v>
      </c>
      <c r="J31" s="29"/>
      <c r="K31" s="53"/>
    </row>
    <row r="32" customFormat="false" ht="14.65" hidden="false" customHeight="false" outlineLevel="0" collapsed="false">
      <c r="A32" s="54"/>
      <c r="B32" s="35"/>
      <c r="C32" s="36"/>
      <c r="D32" s="36"/>
      <c r="E32" s="36"/>
      <c r="F32" s="55" t="s">
        <v>2</v>
      </c>
      <c r="G32" s="35"/>
      <c r="H32" s="36"/>
      <c r="I32" s="55" t="s">
        <v>2</v>
      </c>
      <c r="J32" s="35"/>
      <c r="K32" s="56"/>
    </row>
    <row r="34" customFormat="false" ht="14.25" hidden="false" customHeight="false" outlineLevel="0" collapsed="false">
      <c r="A34" s="46"/>
      <c r="B34" s="24" t="s">
        <v>18</v>
      </c>
      <c r="C34" s="25"/>
      <c r="D34" s="27" t="s">
        <v>19</v>
      </c>
    </row>
    <row r="35" customFormat="false" ht="14.25" hidden="false" customHeight="false" outlineLevel="0" collapsed="false">
      <c r="A35" s="47" t="s">
        <v>1</v>
      </c>
      <c r="B35" s="29"/>
      <c r="C35" s="30"/>
      <c r="D35" s="53" t="n">
        <v>10</v>
      </c>
    </row>
    <row r="36" customFormat="false" ht="14.25" hidden="false" customHeight="false" outlineLevel="0" collapsed="false">
      <c r="A36" s="47" t="s">
        <v>2</v>
      </c>
      <c r="B36" s="29"/>
      <c r="C36" s="30"/>
      <c r="D36" s="53" t="n">
        <v>20</v>
      </c>
    </row>
    <row r="37" customFormat="false" ht="14.25" hidden="false" customHeight="false" outlineLevel="0" collapsed="false">
      <c r="A37" s="57" t="s">
        <v>14</v>
      </c>
      <c r="B37" s="29"/>
      <c r="C37" s="30"/>
      <c r="D37" s="53"/>
    </row>
    <row r="38" customFormat="false" ht="14.25" hidden="false" customHeight="false" outlineLevel="0" collapsed="false">
      <c r="A38" s="58"/>
      <c r="B38" s="30"/>
      <c r="C38" s="30"/>
      <c r="D38" s="53"/>
    </row>
    <row r="39" customFormat="false" ht="14.25" hidden="false" customHeight="false" outlineLevel="0" collapsed="false">
      <c r="A39" s="58"/>
      <c r="B39" s="31" t="s">
        <v>20</v>
      </c>
      <c r="C39" s="30"/>
      <c r="D39" s="53"/>
    </row>
    <row r="40" customFormat="false" ht="14.25" hidden="false" customHeight="false" outlineLevel="0" collapsed="false">
      <c r="A40" s="47" t="s">
        <v>1</v>
      </c>
      <c r="B40" s="29"/>
      <c r="C40" s="30"/>
      <c r="D40" s="53"/>
    </row>
    <row r="41" customFormat="false" ht="14.25" hidden="false" customHeight="false" outlineLevel="0" collapsed="false">
      <c r="A41" s="47" t="s">
        <v>2</v>
      </c>
      <c r="B41" s="29"/>
      <c r="C41" s="30"/>
      <c r="D41" s="53"/>
    </row>
    <row r="42" customFormat="false" ht="14.65" hidden="false" customHeight="false" outlineLevel="0" collapsed="false">
      <c r="A42" s="54"/>
      <c r="B42" s="35"/>
      <c r="C42" s="36"/>
      <c r="D42" s="56"/>
    </row>
    <row r="71" customFormat="false" ht="14.25" hidden="false" customHeight="false" outlineLevel="0" collapsed="false">
      <c r="B71" s="1" t="n">
        <v>0.5</v>
      </c>
      <c r="C71" s="1" t="n">
        <v>-0.4</v>
      </c>
      <c r="D71" s="1" t="n">
        <v>-0.2</v>
      </c>
    </row>
    <row r="72" customFormat="false" ht="14.25" hidden="false" customHeight="false" outlineLevel="0" collapsed="false">
      <c r="B72" s="1" t="n">
        <v>-0.2</v>
      </c>
      <c r="C72" s="1" t="n">
        <v>0.7</v>
      </c>
      <c r="D72" s="1" t="n">
        <v>-0.1</v>
      </c>
    </row>
    <row r="73" customFormat="false" ht="14.25" hidden="false" customHeight="false" outlineLevel="0" collapsed="false">
      <c r="B73" s="1" t="n">
        <v>-0.1</v>
      </c>
      <c r="C73" s="1" t="n">
        <v>-0.1</v>
      </c>
      <c r="D73" s="1" t="n">
        <v>0.7</v>
      </c>
    </row>
    <row r="77" customFormat="false" ht="14.25" hidden="false" customHeight="false" outlineLevel="0" collapsed="false">
      <c r="B77" s="1" t="n">
        <f aca="false" t="array" ref="B77:D79">MINVERSE($B$71:$D$73)</f>
        <v>2.96296296296296</v>
      </c>
      <c r="C77" s="1" t="n">
        <v>1.85185185185185</v>
      </c>
      <c r="D77" s="1" t="n">
        <v>1.11111111111111</v>
      </c>
      <c r="F77" s="1" t="n">
        <v>50</v>
      </c>
      <c r="H77" s="1" t="n">
        <f aca="false" t="array" ref="H77:H79">MMULT(B77:D79,F77:F79)</f>
        <v>225.925925925926</v>
      </c>
    </row>
    <row r="78" customFormat="false" ht="14.25" hidden="false" customHeight="false" outlineLevel="0" collapsed="false">
      <c r="B78" s="1" t="n">
        <v>0.925925925925926</v>
      </c>
      <c r="C78" s="1" t="n">
        <v>2.03703703703704</v>
      </c>
      <c r="D78" s="1" t="n">
        <v>0.555555555555556</v>
      </c>
      <c r="F78" s="1" t="n">
        <v>30</v>
      </c>
      <c r="H78" s="1" t="n">
        <v>118.518518518519</v>
      </c>
    </row>
    <row r="79" customFormat="false" ht="14.25" hidden="false" customHeight="false" outlineLevel="0" collapsed="false">
      <c r="B79" s="1" t="n">
        <v>0.555555555555556</v>
      </c>
      <c r="C79" s="1" t="n">
        <v>0.555555555555556</v>
      </c>
      <c r="D79" s="1" t="n">
        <v>1.66666666666667</v>
      </c>
      <c r="F79" s="1" t="n">
        <v>20</v>
      </c>
      <c r="H79" s="1" t="n">
        <v>77.7777777777778</v>
      </c>
    </row>
    <row r="81" customFormat="false" ht="14.25" hidden="false" customHeight="false" outlineLevel="0" collapsed="false">
      <c r="B81" s="41" t="n">
        <v>2.96296296296296</v>
      </c>
      <c r="C81" s="41" t="n">
        <v>1.85185185185185</v>
      </c>
      <c r="D81" s="41" t="n">
        <v>1.11111111111111</v>
      </c>
    </row>
    <row r="82" customFormat="false" ht="14.25" hidden="false" customHeight="false" outlineLevel="0" collapsed="false">
      <c r="B82" s="41" t="n">
        <v>0.925925925925926</v>
      </c>
      <c r="C82" s="41" t="n">
        <v>2.03703703703704</v>
      </c>
      <c r="D82" s="41" t="n">
        <v>0.555555555555556</v>
      </c>
    </row>
    <row r="83" customFormat="false" ht="14.25" hidden="false" customHeight="false" outlineLevel="0" collapsed="false">
      <c r="B83" s="41" t="n">
        <v>0.555555555555556</v>
      </c>
      <c r="C83" s="41" t="n">
        <v>0.555555555555556</v>
      </c>
      <c r="D83" s="41" t="n">
        <v>1.66666666666667</v>
      </c>
    </row>
    <row r="86" customFormat="false" ht="14.25" hidden="false" customHeight="false" outlineLevel="0" collapsed="false">
      <c r="A86" s="1" t="s">
        <v>21</v>
      </c>
      <c r="B86" s="1" t="n">
        <v>0.1</v>
      </c>
      <c r="C86" s="1" t="n">
        <v>0.5</v>
      </c>
    </row>
    <row r="87" customFormat="false" ht="14.25" hidden="false" customHeight="false" outlineLevel="0" collapsed="false">
      <c r="B87" s="1" t="n">
        <v>0.8</v>
      </c>
      <c r="C87" s="1" t="n">
        <v>0</v>
      </c>
    </row>
    <row r="89" customFormat="false" ht="14.25" hidden="false" customHeight="false" outlineLevel="0" collapsed="false">
      <c r="A89" s="1" t="s">
        <v>11</v>
      </c>
      <c r="B89" s="1" t="n">
        <f aca="false">1-B86</f>
        <v>0.9</v>
      </c>
      <c r="C89" s="1" t="n">
        <f aca="false">-C86</f>
        <v>-0.5</v>
      </c>
    </row>
    <row r="90" customFormat="false" ht="14.25" hidden="false" customHeight="false" outlineLevel="0" collapsed="false">
      <c r="B90" s="1" t="n">
        <f aca="false">-B87</f>
        <v>-0.8</v>
      </c>
      <c r="C90" s="1" t="n">
        <f aca="false">1-C87</f>
        <v>1</v>
      </c>
    </row>
    <row r="92" customFormat="false" ht="14.25" hidden="false" customHeight="false" outlineLevel="0" collapsed="false">
      <c r="A92" s="1" t="s">
        <v>22</v>
      </c>
      <c r="B92" s="1" t="n">
        <f aca="false" t="array" ref="B92:C93">MINVERSE(B89:C90)</f>
        <v>2</v>
      </c>
      <c r="C92" s="1" t="n">
        <v>1</v>
      </c>
      <c r="E92" s="1" t="n">
        <v>4</v>
      </c>
      <c r="G92" s="1" t="n">
        <f aca="false" t="array" ref="G92:G93">MMULT(B92:C93,E92:E93)</f>
        <v>10</v>
      </c>
    </row>
    <row r="93" customFormat="false" ht="14.25" hidden="false" customHeight="false" outlineLevel="0" collapsed="false">
      <c r="B93" s="1" t="n">
        <v>1.6</v>
      </c>
      <c r="C93" s="1" t="n">
        <v>1.8</v>
      </c>
      <c r="E93" s="1" t="n">
        <v>2</v>
      </c>
      <c r="G93" s="1" t="n">
        <v>10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646</TotalTime>
  <Application>LibreOffice/25.8.6.2$Linux_X86_64 LibreOffice_project/a46b460d1686bb49c718d2ef5f88b83ff2dc4981</Application>
  <AppVersion>15.0000</AppVersion>
  <Company>USP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2009-01-26T14:08:28Z</dcterms:created>
  <dc:creator>Joaquim José Martins Guilhoto</dc:creator>
  <dc:description/>
  <dc:language>en-US</dc:language>
  <cp:lastModifiedBy/>
  <dcterms:modified xsi:type="dcterms:W3CDTF">2026-04-22T18:29:50Z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